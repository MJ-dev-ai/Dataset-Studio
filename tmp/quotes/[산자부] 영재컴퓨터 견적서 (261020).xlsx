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JMOD\Desktop\견적서\회사\TNS AI 장민규\"/>
    </mc:Choice>
  </mc:AlternateContent>
  <xr:revisionPtr revIDLastSave="0" documentId="13_ncr:1_{9BFB59F8-1CFD-47F2-AD88-6F5F0C2A40A5}" xr6:coauthVersionLast="44" xr6:coauthVersionMax="44" xr10:uidLastSave="{00000000-0000-0000-0000-000000000000}"/>
  <bookViews>
    <workbookView xWindow="28680" yWindow="-120" windowWidth="29040" windowHeight="15720" xr2:uid="{00000000-000D-0000-FFFF-FFFF00000000}"/>
  </bookViews>
  <sheets>
    <sheet name="1_권장 구성 견적" sheetId="1" r:id="rId1"/>
  </sheets>
  <definedNames>
    <definedName name="_xlnm.Print_Area" localSheetId="0">'1_권장 구성 견적'!$A$1:$AN$41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J30" i="1" l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31" i="1" l="1"/>
  <c r="AJ32" i="1" s="1"/>
  <c r="AJ34" i="1" s="1"/>
  <c r="AD14" i="1" s="1"/>
</calcChain>
</file>

<file path=xl/sharedStrings.xml><?xml version="1.0" encoding="utf-8"?>
<sst xmlns="http://schemas.openxmlformats.org/spreadsheetml/2006/main" count="65" uniqueCount="62">
  <si>
    <t>AI &amp; Deep Learning Workstations</t>
  </si>
  <si>
    <t>Extreme Liquid Cooling System</t>
  </si>
  <si>
    <t>High Performance Server</t>
  </si>
  <si>
    <t>Intel Platinum Technology Provider</t>
  </si>
  <si>
    <t>AMD Workstation System Integrator</t>
  </si>
  <si>
    <t>YJMOD WORKSTATION</t>
  </si>
  <si>
    <t>견적일자</t>
  </si>
  <si>
    <t>견적수신</t>
  </si>
  <si>
    <t>장민규 연구원님
TNS AI</t>
  </si>
  <si>
    <t>담당자</t>
  </si>
  <si>
    <t>송기훈 실장</t>
  </si>
  <si>
    <t>전화번호</t>
  </si>
  <si>
    <t>02-716-5232</t>
  </si>
  <si>
    <t>메일주소</t>
  </si>
  <si>
    <t>digiji1@naver.com
svr@yjmod.kr</t>
  </si>
  <si>
    <t>(단위 : 원)</t>
  </si>
  <si>
    <t>견적금액(합계금액)</t>
  </si>
  <si>
    <t>MODEL NAME</t>
  </si>
  <si>
    <t>CATEGORY</t>
  </si>
  <si>
    <t>DESCRIPTION</t>
  </si>
  <si>
    <t>QTY</t>
  </si>
  <si>
    <t>UNIT PRICE</t>
  </si>
  <si>
    <t>EXT. PRICE</t>
  </si>
  <si>
    <t>CPU</t>
  </si>
  <si>
    <t>CPU COOLER</t>
  </si>
  <si>
    <t>M/B</t>
  </si>
  <si>
    <t>RAM</t>
  </si>
  <si>
    <t>GPU</t>
  </si>
  <si>
    <t>SSD (OS)</t>
  </si>
  <si>
    <t>삼성전자 990 PRO M.2 NVMe 1TB (PCIe 4.0 x4 · TLC · DRAM 캐시)
 · 운영체제 · 프로그램용 · 5년 보증
 ※ 계획하신 구성 그대로입니다</t>
  </si>
  <si>
    <t>SSD (DATA)</t>
  </si>
  <si>
    <t>삼성전자 990 PRO M.2 NVMe 2TB (PCIe 4.0 x4 · TLC · DRAM 캐시)
 · 검사 영상 데이터용 · 5년 보증
 ※ 계획하신 구성 그대로입니다</t>
  </si>
  <si>
    <t>PSU</t>
  </si>
  <si>
    <t>시소닉 PRIME PLATINUM PX-1600 ATX 3.1 (1600W · 80PLUS 플래티넘)
 · 풀모듈러 · 네이티브 12V-2x6 커넥터 · 무상 12년
 ※ 계획하신 모델 그대로입니다</t>
  </si>
  <si>
    <t>CASE</t>
  </si>
  <si>
    <t>Fractal Design Define 7 XL (빅타워 · E-ATX / SSI-EEB 대응)
 · 흡음재 내장 저소음 설계 · 확장슬롯 9개
 · 360mm 라디에이터 장착 공간 확보
 ※ 계획하신 모델 그대로입니다</t>
  </si>
  <si>
    <t>시스템 팬</t>
  </si>
  <si>
    <t>NOCTUA NF-A14 PWM chromax.black.swap (140mm 저소음)
 · 전면 흡기 보강용 3개
 ※ 계획하신 추가 팬 3개에 해당합니다</t>
  </si>
  <si>
    <t>조립 · 검수</t>
  </si>
  <si>
    <t>공급가액</t>
  </si>
  <si>
    <t>세액</t>
  </si>
  <si>
    <t>합계 (VAT 포함)</t>
  </si>
  <si>
    <t>* 본 제품의 기본 보증기간은 1년입니다. 워런티팩에 따라 상이할 수 있습니다.
* 모든 품질보증 규정은 제조사 및 수입사의 규정에 따릅니다.
* 본 제품은 전자파 적합성평가를 받은 구성품으로 제작되었으며 완성품에 대해서는 평가를 받지 않은 제품입니다.
* 제품 보증기간 경과 후에 발생하는 고장에 대해서는 실비로 수리해 드립니다.</t>
  </si>
  <si>
    <t>공급자</t>
  </si>
  <si>
    <t>상  호</t>
  </si>
  <si>
    <t>㈜영재컴퓨터</t>
  </si>
  <si>
    <t>대표자</t>
  </si>
  <si>
    <t>고영은</t>
  </si>
  <si>
    <t>등록번호</t>
  </si>
  <si>
    <t>128-87-18454</t>
  </si>
  <si>
    <t>주 소</t>
  </si>
  <si>
    <t>서울시 강서구 개화동로7길 4-7</t>
  </si>
  <si>
    <t>TEL 02)716-5232 / FAX 02)719-8947</t>
  </si>
  <si>
    <t>GIGABYTE AORUS 지포스 RTX 5090 XTREME 워터 블럭 D7 32GB
360 GPU 수랭 적용</t>
    <phoneticPr fontId="1" type="noConversion"/>
  </si>
  <si>
    <t>조립 · BIOS / IPMI 설정 · 케이블 정리
 · 프레임그래버 3장 장착 및 인식 확인
 · MemTest86 · CPU / GPU 장시간 번인 테스트 
 · 내부 조립 사진 제공 · 안심포장 배송</t>
    <phoneticPr fontId="1" type="noConversion"/>
  </si>
  <si>
    <t>AMD 라이젠 스레드리퍼 7960X (스톰 픽) (멀티팩(정품))</t>
    <phoneticPr fontId="1" type="noConversion"/>
  </si>
  <si>
    <t>NOCTUA NH-U14S TR5-SP6 (sTR5 전용 공랭 타워 쿨러)
 · 140mm NF-A15 팬 · 스레드리퍼 전용 풀커버 베이스 · 제조사 보증 6년
 ※ 계획하신 모델 그대로입니다</t>
    <phoneticPr fontId="1" type="noConversion"/>
  </si>
  <si>
    <t>ASUS PRO WS TRX50-SAGE WiFi 아이보라</t>
    <phoneticPr fontId="1" type="noConversion"/>
  </si>
  <si>
    <t>삼성전자 DDR5-5600 ECC/REG (32GB)</t>
    <phoneticPr fontId="1" type="noConversion"/>
  </si>
  <si>
    <t>AI 영상검사
워크스테이션
1대
ECC 128GB
RTX 5090 32GB
(수랭)
1600W ATX3.1</t>
    <phoneticPr fontId="1" type="noConversion"/>
  </si>
  <si>
    <t>26.10.20</t>
    <phoneticPr fontId="1" type="noConversion"/>
  </si>
  <si>
    <t>※유효기한 : 견적일로부터  07일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</si>
</sst>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876400036622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/>
    <xf numFmtId="0" fontId="0" fillId="0" borderId="0" xfId="0" applyAlignment="1"/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/>
    <xf numFmtId="3" fontId="4" fillId="0" borderId="9" xfId="0" applyNumberFormat="1" applyFont="1" applyBorder="1" applyAlignment="1">
      <alignment horizontal="center" vertical="center"/>
    </xf>
    <xf numFmtId="0" fontId="0" fillId="0" borderId="8" xfId="0" applyBorder="1" applyAlignment="1"/>
    <xf numFmtId="0" fontId="9" fillId="3" borderId="11" xfId="0" applyFont="1" applyFill="1" applyBorder="1" applyAlignment="1">
      <alignment horizontal="center" vertical="center" wrapText="1"/>
    </xf>
    <xf numFmtId="0" fontId="0" fillId="0" borderId="21" xfId="0" applyBorder="1" applyAlignment="1"/>
    <xf numFmtId="0" fontId="0" fillId="0" borderId="11" xfId="0" applyBorder="1" applyAlignment="1"/>
    <xf numFmtId="0" fontId="4" fillId="0" borderId="9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" xfId="0" applyBorder="1" applyAlignment="1"/>
    <xf numFmtId="0" fontId="0" fillId="0" borderId="24" xfId="0" applyBorder="1" applyAlignment="1"/>
    <xf numFmtId="0" fontId="0" fillId="0" borderId="0" xfId="0" applyAlignment="1"/>
    <xf numFmtId="0" fontId="0" fillId="0" borderId="22" xfId="0" applyBorder="1" applyAlignment="1"/>
    <xf numFmtId="0" fontId="4" fillId="0" borderId="7" xfId="0" applyFont="1" applyBorder="1" applyAlignment="1">
      <alignment horizontal="center" vertical="center"/>
    </xf>
    <xf numFmtId="0" fontId="0" fillId="0" borderId="1" xfId="0" applyBorder="1" applyAlignment="1"/>
    <xf numFmtId="176" fontId="4" fillId="0" borderId="10" xfId="0" applyNumberFormat="1" applyFont="1" applyBorder="1" applyAlignment="1">
      <alignment horizontal="center" vertical="center"/>
    </xf>
    <xf numFmtId="176" fontId="0" fillId="2" borderId="19" xfId="0" applyNumberFormat="1" applyFill="1" applyBorder="1" applyAlignment="1">
      <alignment horizontal="center" vertical="center"/>
    </xf>
    <xf numFmtId="0" fontId="0" fillId="0" borderId="20" xfId="0" applyBorder="1" applyAlignment="1"/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3" fontId="0" fillId="2" borderId="10" xfId="0" applyNumberForma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0" fillId="0" borderId="17" xfId="0" applyBorder="1" applyAlignment="1"/>
    <xf numFmtId="0" fontId="4" fillId="0" borderId="13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6" xfId="0" applyBorder="1" applyAlignment="1"/>
    <xf numFmtId="176" fontId="0" fillId="3" borderId="13" xfId="0" applyNumberFormat="1" applyFill="1" applyBorder="1" applyAlignment="1">
      <alignment horizontal="center" vertical="center"/>
    </xf>
    <xf numFmtId="0" fontId="7" fillId="0" borderId="12" xfId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5" fillId="2" borderId="0" xfId="0" applyNumberFormat="1" applyFont="1" applyFill="1" applyAlignment="1">
      <alignment horizontal="right" vertical="center"/>
    </xf>
    <xf numFmtId="0" fontId="9" fillId="2" borderId="1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left" vertical="center" wrapText="1"/>
    </xf>
    <xf numFmtId="0" fontId="0" fillId="0" borderId="4" xfId="0" applyBorder="1" applyAlignment="1"/>
    <xf numFmtId="0" fontId="0" fillId="0" borderId="5" xfId="0" applyBorder="1" applyAlignment="1"/>
    <xf numFmtId="0" fontId="4" fillId="2" borderId="1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179087</xdr:rowOff>
    </xdr:from>
    <xdr:to>
      <xdr:col>11</xdr:col>
      <xdr:colOff>95250</xdr:colOff>
      <xdr:row>5</xdr:row>
      <xdr:rowOff>85636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6515" r="3082"/>
        <a:stretch>
          <a:fillRect/>
        </a:stretch>
      </xdr:blipFill>
      <xdr:spPr>
        <a:xfrm>
          <a:off x="123825" y="179087"/>
          <a:ext cx="3009900" cy="1123027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38</xdr:col>
      <xdr:colOff>94576</xdr:colOff>
      <xdr:row>36</xdr:row>
      <xdr:rowOff>54302</xdr:rowOff>
    </xdr:from>
    <xdr:ext cx="436102" cy="43679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flipV="1">
          <a:off x="10436005" y="13729481"/>
          <a:ext cx="436102" cy="436793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igiji1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P40"/>
  <sheetViews>
    <sheetView showGridLines="0" tabSelected="1" zoomScale="85" zoomScaleNormal="85" zoomScaleSheetLayoutView="70" workbookViewId="0">
      <selection activeCell="AF9" sqref="AF9:AH9"/>
    </sheetView>
  </sheetViews>
  <sheetFormatPr defaultRowHeight="16.5" x14ac:dyDescent="0.3"/>
  <cols>
    <col min="1" max="40" width="3.625" style="10" customWidth="1"/>
    <col min="41" max="41" width="10" style="10" bestFit="1" customWidth="1"/>
    <col min="42" max="42" width="70" style="10" customWidth="1"/>
  </cols>
  <sheetData>
    <row r="2" spans="1:42" s="2" customFormat="1" ht="20.100000000000001" customHeight="1" x14ac:dyDescent="0.3">
      <c r="AE2" s="3" t="s">
        <v>0</v>
      </c>
      <c r="AF2" s="4"/>
      <c r="AG2" s="4"/>
      <c r="AH2" s="4"/>
      <c r="AI2" s="4"/>
      <c r="AJ2" s="4"/>
      <c r="AK2" s="4"/>
      <c r="AL2" s="4"/>
      <c r="AM2" s="4"/>
      <c r="AN2" s="4"/>
    </row>
    <row r="3" spans="1:42" s="2" customFormat="1" ht="20.100000000000001" customHeight="1" x14ac:dyDescent="0.3">
      <c r="AE3" s="5" t="s">
        <v>1</v>
      </c>
      <c r="AF3" s="6"/>
      <c r="AG3" s="6"/>
      <c r="AH3" s="6"/>
      <c r="AI3" s="6"/>
      <c r="AJ3" s="6"/>
      <c r="AK3" s="6"/>
      <c r="AL3" s="6"/>
      <c r="AM3" s="6"/>
      <c r="AN3" s="6"/>
    </row>
    <row r="4" spans="1:42" s="2" customFormat="1" ht="20.100000000000001" customHeight="1" x14ac:dyDescent="0.3">
      <c r="AE4" s="5" t="s">
        <v>2</v>
      </c>
      <c r="AF4" s="6"/>
      <c r="AG4" s="6"/>
      <c r="AH4" s="6"/>
      <c r="AI4" s="6"/>
      <c r="AJ4" s="6"/>
      <c r="AK4" s="6"/>
      <c r="AL4" s="6"/>
      <c r="AM4" s="6"/>
      <c r="AN4" s="6"/>
    </row>
    <row r="5" spans="1:42" s="2" customFormat="1" ht="20.100000000000001" customHeight="1" x14ac:dyDescent="0.3">
      <c r="AE5" s="5" t="s">
        <v>3</v>
      </c>
      <c r="AF5" s="6"/>
      <c r="AG5" s="6"/>
      <c r="AH5" s="6"/>
      <c r="AI5" s="6"/>
      <c r="AJ5" s="6"/>
      <c r="AK5" s="6"/>
      <c r="AL5" s="6"/>
      <c r="AM5" s="6"/>
      <c r="AN5" s="6"/>
    </row>
    <row r="6" spans="1:42" s="2" customFormat="1" ht="20.100000000000001" customHeight="1" x14ac:dyDescent="0.3">
      <c r="AE6" s="7" t="s">
        <v>4</v>
      </c>
      <c r="AF6" s="8"/>
      <c r="AG6" s="8"/>
      <c r="AH6" s="8"/>
      <c r="AI6" s="8"/>
      <c r="AJ6" s="8"/>
      <c r="AK6" s="8"/>
      <c r="AL6" s="8"/>
      <c r="AM6" s="8"/>
      <c r="AN6" s="8"/>
    </row>
    <row r="7" spans="1:42" ht="17.25" customHeight="1" thickBot="1" x14ac:dyDescent="0.35"/>
    <row r="8" spans="1:42" ht="24.95" customHeight="1" x14ac:dyDescent="0.3">
      <c r="A8" s="67" t="s">
        <v>5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W8" s="43" t="s">
        <v>6</v>
      </c>
      <c r="X8" s="29"/>
      <c r="Y8" s="41"/>
      <c r="Z8" s="57" t="s">
        <v>60</v>
      </c>
      <c r="AA8" s="29"/>
      <c r="AB8" s="29"/>
      <c r="AC8" s="29"/>
      <c r="AD8" s="29"/>
      <c r="AE8" s="41"/>
      <c r="AF8" s="51" t="s">
        <v>61</v>
      </c>
      <c r="AG8" s="29"/>
      <c r="AH8" s="29"/>
      <c r="AI8" s="29"/>
      <c r="AJ8" s="29"/>
      <c r="AK8" s="29"/>
      <c r="AL8" s="29"/>
      <c r="AM8" s="29"/>
      <c r="AN8" s="29"/>
    </row>
    <row r="9" spans="1:42" ht="42" customHeight="1" x14ac:dyDescent="0.3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W9" s="39" t="s">
        <v>7</v>
      </c>
      <c r="X9" s="13"/>
      <c r="Y9" s="15"/>
      <c r="Z9" s="19" t="s">
        <v>8</v>
      </c>
      <c r="AA9" s="13"/>
      <c r="AB9" s="13"/>
      <c r="AC9" s="13"/>
      <c r="AD9" s="13"/>
      <c r="AE9" s="15"/>
      <c r="AF9" s="34" t="s">
        <v>9</v>
      </c>
      <c r="AG9" s="13"/>
      <c r="AH9" s="15"/>
      <c r="AI9" s="62" t="s">
        <v>10</v>
      </c>
      <c r="AJ9" s="13"/>
      <c r="AK9" s="13"/>
      <c r="AL9" s="13"/>
      <c r="AM9" s="13"/>
      <c r="AN9" s="13"/>
    </row>
    <row r="10" spans="1:42" ht="24.9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W10" s="39" t="s">
        <v>11</v>
      </c>
      <c r="X10" s="13"/>
      <c r="Y10" s="15"/>
      <c r="Z10" s="44"/>
      <c r="AA10" s="13"/>
      <c r="AB10" s="13"/>
      <c r="AC10" s="13"/>
      <c r="AD10" s="13"/>
      <c r="AE10" s="15"/>
      <c r="AF10" s="34" t="s">
        <v>11</v>
      </c>
      <c r="AG10" s="13"/>
      <c r="AH10" s="15"/>
      <c r="AI10" s="30" t="s">
        <v>12</v>
      </c>
      <c r="AJ10" s="13"/>
      <c r="AK10" s="13"/>
      <c r="AL10" s="13"/>
      <c r="AM10" s="13"/>
      <c r="AN10" s="13"/>
    </row>
    <row r="11" spans="1:42" ht="42" customHeight="1" thickBot="1" x14ac:dyDescent="0.35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W11" s="58" t="s">
        <v>13</v>
      </c>
      <c r="X11" s="17"/>
      <c r="Y11" s="18"/>
      <c r="Z11" s="49"/>
      <c r="AA11" s="17"/>
      <c r="AB11" s="17"/>
      <c r="AC11" s="17"/>
      <c r="AD11" s="17"/>
      <c r="AE11" s="18"/>
      <c r="AF11" s="66" t="s">
        <v>13</v>
      </c>
      <c r="AG11" s="17"/>
      <c r="AH11" s="18"/>
      <c r="AI11" s="37" t="s">
        <v>14</v>
      </c>
      <c r="AJ11" s="17"/>
      <c r="AK11" s="17"/>
      <c r="AL11" s="17"/>
      <c r="AM11" s="17"/>
      <c r="AN11" s="17"/>
    </row>
    <row r="12" spans="1:42" ht="18" customHeight="1" x14ac:dyDescent="0.3">
      <c r="AL12" s="1"/>
      <c r="AM12" s="1"/>
      <c r="AN12" s="1"/>
    </row>
    <row r="13" spans="1:42" ht="24" customHeight="1" x14ac:dyDescent="0.3">
      <c r="AL13" s="61" t="s">
        <v>15</v>
      </c>
      <c r="AM13" s="23"/>
      <c r="AN13" s="23"/>
    </row>
    <row r="14" spans="1:42" x14ac:dyDescent="0.3">
      <c r="A14" s="50" t="s">
        <v>16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54">
        <f>AJ34</f>
        <v>28420227</v>
      </c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2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11"/>
      <c r="AP15" s="11"/>
    </row>
    <row r="16" spans="1:42" ht="24" customHeight="1" thickBot="1" x14ac:dyDescent="0.35">
      <c r="AO16" s="11"/>
      <c r="AP16" s="11"/>
    </row>
    <row r="17" spans="1:42" ht="32.25" customHeight="1" x14ac:dyDescent="0.3">
      <c r="A17" s="60" t="s">
        <v>17</v>
      </c>
      <c r="B17" s="29"/>
      <c r="C17" s="29"/>
      <c r="D17" s="29"/>
      <c r="E17" s="41"/>
      <c r="F17" s="40" t="s">
        <v>18</v>
      </c>
      <c r="G17" s="29"/>
      <c r="H17" s="29"/>
      <c r="I17" s="41"/>
      <c r="J17" s="40" t="s">
        <v>19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41"/>
      <c r="AB17" s="40" t="s">
        <v>20</v>
      </c>
      <c r="AC17" s="29"/>
      <c r="AD17" s="41"/>
      <c r="AE17" s="40" t="s">
        <v>21</v>
      </c>
      <c r="AF17" s="29"/>
      <c r="AG17" s="29"/>
      <c r="AH17" s="29"/>
      <c r="AI17" s="41"/>
      <c r="AJ17" s="51" t="s">
        <v>22</v>
      </c>
      <c r="AK17" s="29"/>
      <c r="AL17" s="29"/>
      <c r="AM17" s="29"/>
      <c r="AN17" s="29"/>
      <c r="AO17" s="11"/>
      <c r="AP17" s="11"/>
    </row>
    <row r="18" spans="1:42" ht="37.5" customHeight="1" x14ac:dyDescent="0.3">
      <c r="A18" s="20" t="s">
        <v>59</v>
      </c>
      <c r="B18" s="21"/>
      <c r="C18" s="21"/>
      <c r="D18" s="21"/>
      <c r="E18" s="22"/>
      <c r="F18" s="56" t="s">
        <v>23</v>
      </c>
      <c r="G18" s="13"/>
      <c r="H18" s="13"/>
      <c r="I18" s="15"/>
      <c r="J18" s="19" t="s">
        <v>55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53">
        <v>1</v>
      </c>
      <c r="AC18" s="13"/>
      <c r="AD18" s="15"/>
      <c r="AE18" s="14">
        <v>1960000</v>
      </c>
      <c r="AF18" s="13"/>
      <c r="AG18" s="13"/>
      <c r="AH18" s="13"/>
      <c r="AI18" s="15"/>
      <c r="AJ18" s="27">
        <f t="shared" ref="AJ18:AJ28" si="0">AB18*AE18</f>
        <v>1960000</v>
      </c>
      <c r="AK18" s="13"/>
      <c r="AL18" s="13"/>
      <c r="AM18" s="13"/>
      <c r="AN18" s="13"/>
      <c r="AO18" s="11"/>
      <c r="AP18" s="11"/>
    </row>
    <row r="19" spans="1:42" ht="81.95" customHeight="1" x14ac:dyDescent="0.3">
      <c r="A19" s="23"/>
      <c r="B19" s="23"/>
      <c r="C19" s="23"/>
      <c r="D19" s="23"/>
      <c r="E19" s="24"/>
      <c r="F19" s="56" t="s">
        <v>24</v>
      </c>
      <c r="G19" s="13"/>
      <c r="H19" s="13"/>
      <c r="I19" s="15"/>
      <c r="J19" s="19" t="s">
        <v>56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5"/>
      <c r="AB19" s="53">
        <v>1</v>
      </c>
      <c r="AC19" s="13"/>
      <c r="AD19" s="15"/>
      <c r="AE19" s="14">
        <v>204000</v>
      </c>
      <c r="AF19" s="13"/>
      <c r="AG19" s="13"/>
      <c r="AH19" s="13"/>
      <c r="AI19" s="15"/>
      <c r="AJ19" s="27">
        <f t="shared" si="0"/>
        <v>204000</v>
      </c>
      <c r="AK19" s="13"/>
      <c r="AL19" s="13"/>
      <c r="AM19" s="13"/>
      <c r="AN19" s="13"/>
      <c r="AO19" s="11"/>
      <c r="AP19" s="11"/>
    </row>
    <row r="20" spans="1:42" ht="38.25" customHeight="1" x14ac:dyDescent="0.3">
      <c r="A20" s="23"/>
      <c r="B20" s="23"/>
      <c r="C20" s="23"/>
      <c r="D20" s="23"/>
      <c r="E20" s="24"/>
      <c r="F20" s="36" t="s">
        <v>25</v>
      </c>
      <c r="G20" s="13"/>
      <c r="H20" s="13"/>
      <c r="I20" s="15"/>
      <c r="J20" s="19" t="s">
        <v>57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5"/>
      <c r="AB20" s="35">
        <v>1</v>
      </c>
      <c r="AC20" s="13"/>
      <c r="AD20" s="15"/>
      <c r="AE20" s="14">
        <v>1340000</v>
      </c>
      <c r="AF20" s="13"/>
      <c r="AG20" s="13"/>
      <c r="AH20" s="13"/>
      <c r="AI20" s="15"/>
      <c r="AJ20" s="27">
        <f t="shared" si="0"/>
        <v>1340000</v>
      </c>
      <c r="AK20" s="13"/>
      <c r="AL20" s="13"/>
      <c r="AM20" s="13"/>
      <c r="AN20" s="13"/>
      <c r="AO20" s="11"/>
      <c r="AP20" s="11"/>
    </row>
    <row r="21" spans="1:42" ht="65.099999999999994" customHeight="1" x14ac:dyDescent="0.3">
      <c r="A21" s="23"/>
      <c r="B21" s="23"/>
      <c r="C21" s="23"/>
      <c r="D21" s="23"/>
      <c r="E21" s="24"/>
      <c r="F21" s="36" t="s">
        <v>26</v>
      </c>
      <c r="G21" s="13"/>
      <c r="H21" s="13"/>
      <c r="I21" s="15"/>
      <c r="J21" s="19" t="s">
        <v>58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5"/>
      <c r="AB21" s="35">
        <v>4</v>
      </c>
      <c r="AC21" s="13"/>
      <c r="AD21" s="15"/>
      <c r="AE21" s="14">
        <v>2200000</v>
      </c>
      <c r="AF21" s="13"/>
      <c r="AG21" s="13"/>
      <c r="AH21" s="13"/>
      <c r="AI21" s="15"/>
      <c r="AJ21" s="27">
        <f t="shared" si="0"/>
        <v>8800000</v>
      </c>
      <c r="AK21" s="13"/>
      <c r="AL21" s="13"/>
      <c r="AM21" s="13"/>
      <c r="AN21" s="13"/>
      <c r="AO21" s="11"/>
      <c r="AP21" s="11"/>
    </row>
    <row r="22" spans="1:42" ht="52.5" customHeight="1" x14ac:dyDescent="0.3">
      <c r="A22" s="23"/>
      <c r="B22" s="23"/>
      <c r="C22" s="23"/>
      <c r="D22" s="23"/>
      <c r="E22" s="24"/>
      <c r="F22" s="36" t="s">
        <v>27</v>
      </c>
      <c r="G22" s="13"/>
      <c r="H22" s="13"/>
      <c r="I22" s="15"/>
      <c r="J22" s="19" t="s">
        <v>53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5"/>
      <c r="AB22" s="35">
        <v>1</v>
      </c>
      <c r="AC22" s="13"/>
      <c r="AD22" s="15"/>
      <c r="AE22" s="14">
        <v>11000000</v>
      </c>
      <c r="AF22" s="13"/>
      <c r="AG22" s="13"/>
      <c r="AH22" s="13"/>
      <c r="AI22" s="15"/>
      <c r="AJ22" s="27">
        <f t="shared" si="0"/>
        <v>11000000</v>
      </c>
      <c r="AK22" s="13"/>
      <c r="AL22" s="13"/>
      <c r="AM22" s="13"/>
      <c r="AN22" s="13"/>
      <c r="AO22" s="11"/>
      <c r="AP22" s="11"/>
    </row>
    <row r="23" spans="1:42" ht="65.099999999999994" customHeight="1" x14ac:dyDescent="0.3">
      <c r="A23" s="23"/>
      <c r="B23" s="23"/>
      <c r="C23" s="23"/>
      <c r="D23" s="23"/>
      <c r="E23" s="24"/>
      <c r="F23" s="36" t="s">
        <v>28</v>
      </c>
      <c r="G23" s="13"/>
      <c r="H23" s="13"/>
      <c r="I23" s="15"/>
      <c r="J23" s="19" t="s">
        <v>29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5"/>
      <c r="AB23" s="35">
        <v>1</v>
      </c>
      <c r="AC23" s="13"/>
      <c r="AD23" s="15"/>
      <c r="AE23" s="14">
        <v>389000</v>
      </c>
      <c r="AF23" s="13"/>
      <c r="AG23" s="13"/>
      <c r="AH23" s="13"/>
      <c r="AI23" s="15"/>
      <c r="AJ23" s="27">
        <f t="shared" si="0"/>
        <v>389000</v>
      </c>
      <c r="AK23" s="13"/>
      <c r="AL23" s="13"/>
      <c r="AM23" s="13"/>
      <c r="AN23" s="13"/>
      <c r="AO23" s="11"/>
      <c r="AP23" s="11"/>
    </row>
    <row r="24" spans="1:42" ht="65.099999999999994" customHeight="1" x14ac:dyDescent="0.3">
      <c r="A24" s="23"/>
      <c r="B24" s="23"/>
      <c r="C24" s="23"/>
      <c r="D24" s="23"/>
      <c r="E24" s="24"/>
      <c r="F24" s="36" t="s">
        <v>30</v>
      </c>
      <c r="G24" s="13"/>
      <c r="H24" s="13"/>
      <c r="I24" s="15"/>
      <c r="J24" s="19" t="s">
        <v>31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5"/>
      <c r="AB24" s="35">
        <v>1</v>
      </c>
      <c r="AC24" s="13"/>
      <c r="AD24" s="15"/>
      <c r="AE24" s="14">
        <v>579620</v>
      </c>
      <c r="AF24" s="13"/>
      <c r="AG24" s="13"/>
      <c r="AH24" s="13"/>
      <c r="AI24" s="15"/>
      <c r="AJ24" s="27">
        <f t="shared" si="0"/>
        <v>579620</v>
      </c>
      <c r="AK24" s="13"/>
      <c r="AL24" s="13"/>
      <c r="AM24" s="13"/>
      <c r="AN24" s="13"/>
      <c r="AO24" s="11"/>
      <c r="AP24" s="11"/>
    </row>
    <row r="25" spans="1:42" ht="65.099999999999994" customHeight="1" x14ac:dyDescent="0.3">
      <c r="A25" s="23"/>
      <c r="B25" s="23"/>
      <c r="C25" s="23"/>
      <c r="D25" s="23"/>
      <c r="E25" s="24"/>
      <c r="F25" s="36" t="s">
        <v>32</v>
      </c>
      <c r="G25" s="13"/>
      <c r="H25" s="13"/>
      <c r="I25" s="15"/>
      <c r="J25" s="19" t="s">
        <v>33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5"/>
      <c r="AB25" s="35">
        <v>1</v>
      </c>
      <c r="AC25" s="13"/>
      <c r="AD25" s="15"/>
      <c r="AE25" s="14">
        <v>736230</v>
      </c>
      <c r="AF25" s="13"/>
      <c r="AG25" s="13"/>
      <c r="AH25" s="13"/>
      <c r="AI25" s="15"/>
      <c r="AJ25" s="27">
        <f t="shared" si="0"/>
        <v>736230</v>
      </c>
      <c r="AK25" s="13"/>
      <c r="AL25" s="13"/>
      <c r="AM25" s="13"/>
      <c r="AN25" s="13"/>
      <c r="AO25" s="11"/>
      <c r="AP25" s="11"/>
    </row>
    <row r="26" spans="1:42" ht="81.95" customHeight="1" x14ac:dyDescent="0.3">
      <c r="A26" s="23"/>
      <c r="B26" s="23"/>
      <c r="C26" s="23"/>
      <c r="D26" s="23"/>
      <c r="E26" s="24"/>
      <c r="F26" s="36" t="s">
        <v>34</v>
      </c>
      <c r="G26" s="13"/>
      <c r="H26" s="13"/>
      <c r="I26" s="15"/>
      <c r="J26" s="19" t="s">
        <v>35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5"/>
      <c r="AB26" s="35">
        <v>1</v>
      </c>
      <c r="AC26" s="13"/>
      <c r="AD26" s="15"/>
      <c r="AE26" s="14">
        <v>360450</v>
      </c>
      <c r="AF26" s="13"/>
      <c r="AG26" s="13"/>
      <c r="AH26" s="13"/>
      <c r="AI26" s="15"/>
      <c r="AJ26" s="27">
        <f t="shared" si="0"/>
        <v>360450</v>
      </c>
      <c r="AK26" s="13"/>
      <c r="AL26" s="13"/>
      <c r="AM26" s="13"/>
      <c r="AN26" s="13"/>
      <c r="AO26" s="11"/>
      <c r="AP26" s="11"/>
    </row>
    <row r="27" spans="1:42" ht="65.099999999999994" customHeight="1" x14ac:dyDescent="0.3">
      <c r="A27" s="23"/>
      <c r="B27" s="23"/>
      <c r="C27" s="23"/>
      <c r="D27" s="23"/>
      <c r="E27" s="24"/>
      <c r="F27" s="36" t="s">
        <v>36</v>
      </c>
      <c r="G27" s="13"/>
      <c r="H27" s="13"/>
      <c r="I27" s="15"/>
      <c r="J27" s="19" t="s">
        <v>37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5"/>
      <c r="AB27" s="35">
        <v>3</v>
      </c>
      <c r="AC27" s="13"/>
      <c r="AD27" s="15"/>
      <c r="AE27" s="14">
        <v>39090</v>
      </c>
      <c r="AF27" s="13"/>
      <c r="AG27" s="13"/>
      <c r="AH27" s="13"/>
      <c r="AI27" s="15"/>
      <c r="AJ27" s="27">
        <f t="shared" si="0"/>
        <v>117270</v>
      </c>
      <c r="AK27" s="13"/>
      <c r="AL27" s="13"/>
      <c r="AM27" s="13"/>
      <c r="AN27" s="13"/>
      <c r="AO27" s="11"/>
      <c r="AP27" s="11"/>
    </row>
    <row r="28" spans="1:42" ht="99" customHeight="1" thickBot="1" x14ac:dyDescent="0.35">
      <c r="A28" s="23"/>
      <c r="B28" s="23"/>
      <c r="C28" s="23"/>
      <c r="D28" s="23"/>
      <c r="E28" s="24"/>
      <c r="F28" s="36" t="s">
        <v>38</v>
      </c>
      <c r="G28" s="13"/>
      <c r="H28" s="13"/>
      <c r="I28" s="15"/>
      <c r="J28" s="19" t="s">
        <v>54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5"/>
      <c r="AB28" s="35">
        <v>1</v>
      </c>
      <c r="AC28" s="13"/>
      <c r="AD28" s="15"/>
      <c r="AE28" s="14">
        <v>350000</v>
      </c>
      <c r="AF28" s="13"/>
      <c r="AG28" s="13"/>
      <c r="AH28" s="13"/>
      <c r="AI28" s="15"/>
      <c r="AJ28" s="27">
        <f t="shared" si="0"/>
        <v>350000</v>
      </c>
      <c r="AK28" s="13"/>
      <c r="AL28" s="13"/>
      <c r="AM28" s="13"/>
      <c r="AN28" s="13"/>
      <c r="AO28" s="11"/>
      <c r="AP28" s="11"/>
    </row>
    <row r="29" spans="1:42" ht="30" hidden="1" customHeight="1" x14ac:dyDescent="0.3">
      <c r="A29" s="23"/>
      <c r="B29" s="23"/>
      <c r="C29" s="23"/>
      <c r="D29" s="23"/>
      <c r="E29" s="24"/>
      <c r="F29" s="35"/>
      <c r="G29" s="13"/>
      <c r="H29" s="13"/>
      <c r="I29" s="15"/>
      <c r="J29" s="19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5"/>
      <c r="AB29" s="35"/>
      <c r="AC29" s="13"/>
      <c r="AD29" s="15"/>
      <c r="AE29" s="14"/>
      <c r="AF29" s="13"/>
      <c r="AG29" s="13"/>
      <c r="AH29" s="13"/>
      <c r="AI29" s="15"/>
      <c r="AJ29" s="27">
        <f>AB29*AE29</f>
        <v>0</v>
      </c>
      <c r="AK29" s="13"/>
      <c r="AL29" s="13"/>
      <c r="AM29" s="13"/>
      <c r="AN29" s="13"/>
      <c r="AO29" s="11"/>
      <c r="AP29" s="11"/>
    </row>
    <row r="30" spans="1:42" ht="30" hidden="1" customHeight="1" thickBot="1" x14ac:dyDescent="0.35">
      <c r="A30" s="23"/>
      <c r="B30" s="23"/>
      <c r="C30" s="23"/>
      <c r="D30" s="23"/>
      <c r="E30" s="24"/>
      <c r="F30" s="35"/>
      <c r="G30" s="13"/>
      <c r="H30" s="13"/>
      <c r="I30" s="15"/>
      <c r="J30" s="19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5"/>
      <c r="AB30" s="35"/>
      <c r="AC30" s="13"/>
      <c r="AD30" s="15"/>
      <c r="AE30" s="14"/>
      <c r="AF30" s="13"/>
      <c r="AG30" s="13"/>
      <c r="AH30" s="13"/>
      <c r="AI30" s="15"/>
      <c r="AJ30" s="27">
        <f>AB30*AE30</f>
        <v>0</v>
      </c>
      <c r="AK30" s="13"/>
      <c r="AL30" s="13"/>
      <c r="AM30" s="13"/>
      <c r="AN30" s="13"/>
      <c r="AO30" s="11"/>
      <c r="AP30" s="11"/>
    </row>
    <row r="31" spans="1:42" ht="30" customHeight="1" x14ac:dyDescent="0.3">
      <c r="A31" s="55" t="s">
        <v>39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41"/>
      <c r="AJ31" s="28">
        <f>SUM(AJ18:AN30)</f>
        <v>25836570</v>
      </c>
      <c r="AK31" s="29"/>
      <c r="AL31" s="29"/>
      <c r="AM31" s="29"/>
      <c r="AN31" s="29"/>
      <c r="AO31" s="11"/>
      <c r="AP31" s="11"/>
    </row>
    <row r="32" spans="1:42" ht="30" customHeight="1" x14ac:dyDescent="0.3">
      <c r="A32" s="38" t="s">
        <v>40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5"/>
      <c r="AJ32" s="45">
        <f>ROUND(AJ31*0.1,0)</f>
        <v>2583657</v>
      </c>
      <c r="AK32" s="13"/>
      <c r="AL32" s="13"/>
      <c r="AM32" s="13"/>
      <c r="AN32" s="13"/>
      <c r="AO32" s="11"/>
      <c r="AP32" s="11"/>
    </row>
    <row r="33" spans="1:40" ht="30" customHeight="1" x14ac:dyDescent="0.3">
      <c r="A33" s="38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5"/>
      <c r="AJ33" s="32"/>
      <c r="AK33" s="13"/>
      <c r="AL33" s="13"/>
      <c r="AM33" s="13"/>
      <c r="AN33" s="13"/>
    </row>
    <row r="34" spans="1:40" ht="34.5" customHeight="1" thickBot="1" x14ac:dyDescent="0.35">
      <c r="A34" s="16" t="s">
        <v>41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8"/>
      <c r="AJ34" s="48">
        <f>SUM(AJ31:AN33)</f>
        <v>28420227</v>
      </c>
      <c r="AK34" s="17"/>
      <c r="AL34" s="17"/>
      <c r="AM34" s="17"/>
      <c r="AN34" s="17"/>
    </row>
    <row r="35" spans="1:40" ht="17.25" customHeight="1" thickBot="1" x14ac:dyDescent="0.35">
      <c r="AE35" s="33"/>
      <c r="AF35" s="23"/>
      <c r="AG35" s="23"/>
      <c r="AH35" s="23"/>
      <c r="AI35" s="23"/>
    </row>
    <row r="36" spans="1:40" ht="30" customHeight="1" x14ac:dyDescent="0.3">
      <c r="A36" s="63" t="s">
        <v>42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9"/>
      <c r="W36" s="59" t="s">
        <v>43</v>
      </c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</row>
    <row r="37" spans="1:40" ht="30" customHeight="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9"/>
      <c r="W37" s="52" t="s">
        <v>44</v>
      </c>
      <c r="X37" s="26"/>
      <c r="Y37" s="47"/>
      <c r="Z37" s="25" t="s">
        <v>45</v>
      </c>
      <c r="AA37" s="26"/>
      <c r="AB37" s="26"/>
      <c r="AC37" s="26"/>
      <c r="AD37" s="26"/>
      <c r="AE37" s="26"/>
      <c r="AF37" s="46" t="s">
        <v>46</v>
      </c>
      <c r="AG37" s="26"/>
      <c r="AH37" s="47"/>
      <c r="AI37" s="30" t="s">
        <v>47</v>
      </c>
      <c r="AJ37" s="13"/>
      <c r="AK37" s="13"/>
      <c r="AL37" s="13"/>
      <c r="AM37" s="13"/>
      <c r="AN37" s="13"/>
    </row>
    <row r="38" spans="1:40" ht="30" customHeight="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9"/>
      <c r="W38" s="31" t="s">
        <v>48</v>
      </c>
      <c r="X38" s="13"/>
      <c r="Y38" s="15"/>
      <c r="Z38" s="30" t="s">
        <v>49</v>
      </c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2"/>
      <c r="AN38" s="13"/>
    </row>
    <row r="39" spans="1:40" ht="30" customHeight="1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9"/>
      <c r="W39" s="31" t="s">
        <v>50</v>
      </c>
      <c r="X39" s="13"/>
      <c r="Y39" s="15"/>
      <c r="Z39" s="30" t="s">
        <v>51</v>
      </c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ht="30" customHeight="1" thickBot="1" x14ac:dyDescent="0.35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9"/>
      <c r="W40" s="68" t="s">
        <v>11</v>
      </c>
      <c r="X40" s="17"/>
      <c r="Y40" s="18"/>
      <c r="Z40" s="42" t="s">
        <v>52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</sheetData>
  <sheetProtection algorithmName="SHA-512" hashValue="rWE4dpXNORRm0yv9VXtadsO7aUfkIOZ6tCwMuccO/S+FwWnaAFZlYzwzeRNnBhO55dmGE2ZZ0/gwUU6Fhoy2bQ==" saltValue="+hei4/ZLbQLHviHVtktLxQ==" spinCount="100000" sheet="1" objects="1" scenarios="1"/>
  <mergeCells count="113">
    <mergeCell ref="AI9:AN9"/>
    <mergeCell ref="Z39:AN39"/>
    <mergeCell ref="F22:I22"/>
    <mergeCell ref="F29:I29"/>
    <mergeCell ref="AB22:AD22"/>
    <mergeCell ref="W39:Y39"/>
    <mergeCell ref="AB29:AD29"/>
    <mergeCell ref="A36:T40"/>
    <mergeCell ref="AF9:AH9"/>
    <mergeCell ref="AE30:AI30"/>
    <mergeCell ref="AJ27:AN27"/>
    <mergeCell ref="AB21:AD21"/>
    <mergeCell ref="AJ17:AN17"/>
    <mergeCell ref="AF11:AH11"/>
    <mergeCell ref="A8:T11"/>
    <mergeCell ref="AB23:AD23"/>
    <mergeCell ref="W40:Y40"/>
    <mergeCell ref="AJ19:AN19"/>
    <mergeCell ref="AJ28:AN28"/>
    <mergeCell ref="Z8:AE8"/>
    <mergeCell ref="J17:AA17"/>
    <mergeCell ref="F30:I30"/>
    <mergeCell ref="F26:I26"/>
    <mergeCell ref="AI10:AN10"/>
    <mergeCell ref="W9:Y9"/>
    <mergeCell ref="AB17:AD17"/>
    <mergeCell ref="F19:I19"/>
    <mergeCell ref="J22:AA22"/>
    <mergeCell ref="J29:AA29"/>
    <mergeCell ref="W11:Y11"/>
    <mergeCell ref="F24:I24"/>
    <mergeCell ref="F21:I21"/>
    <mergeCell ref="AE26:AI26"/>
    <mergeCell ref="J24:AA24"/>
    <mergeCell ref="AL13:AN13"/>
    <mergeCell ref="J26:AA26"/>
    <mergeCell ref="AE18:AI18"/>
    <mergeCell ref="AB19:AD19"/>
    <mergeCell ref="AB28:AD28"/>
    <mergeCell ref="J21:AA21"/>
    <mergeCell ref="F20:I20"/>
    <mergeCell ref="J23:AA23"/>
    <mergeCell ref="AJ29:AN29"/>
    <mergeCell ref="Z40:AN40"/>
    <mergeCell ref="J30:AA30"/>
    <mergeCell ref="F25:I25"/>
    <mergeCell ref="W8:Y8"/>
    <mergeCell ref="AE23:AI23"/>
    <mergeCell ref="AJ18:AN18"/>
    <mergeCell ref="Z10:AE10"/>
    <mergeCell ref="AJ32:AN32"/>
    <mergeCell ref="Z9:AE9"/>
    <mergeCell ref="J18:AA18"/>
    <mergeCell ref="AF37:AH37"/>
    <mergeCell ref="AJ34:AN34"/>
    <mergeCell ref="AB24:AD24"/>
    <mergeCell ref="Z11:AE11"/>
    <mergeCell ref="AJ20:AN20"/>
    <mergeCell ref="F23:I23"/>
    <mergeCell ref="AE27:AI27"/>
    <mergeCell ref="AJ22:AN22"/>
    <mergeCell ref="Z38:AL38"/>
    <mergeCell ref="A14:AC15"/>
    <mergeCell ref="J25:AA25"/>
    <mergeCell ref="AF8:AN8"/>
    <mergeCell ref="W37:Y37"/>
    <mergeCell ref="AE17:AI17"/>
    <mergeCell ref="AF10:AH10"/>
    <mergeCell ref="AJ21:AN21"/>
    <mergeCell ref="AE25:AI25"/>
    <mergeCell ref="AB25:AD25"/>
    <mergeCell ref="AE20:AI20"/>
    <mergeCell ref="F27:I27"/>
    <mergeCell ref="AI11:AN11"/>
    <mergeCell ref="AB27:AD27"/>
    <mergeCell ref="A32:AI32"/>
    <mergeCell ref="AE22:AI22"/>
    <mergeCell ref="AE29:AI29"/>
    <mergeCell ref="W10:Y10"/>
    <mergeCell ref="AB20:AD20"/>
    <mergeCell ref="F17:I17"/>
    <mergeCell ref="F28:I28"/>
    <mergeCell ref="AB18:AD18"/>
    <mergeCell ref="AE19:AI19"/>
    <mergeCell ref="AJ24:AN24"/>
    <mergeCell ref="AE28:AI28"/>
    <mergeCell ref="AD14:AN15"/>
    <mergeCell ref="A31:AI31"/>
    <mergeCell ref="F18:I18"/>
    <mergeCell ref="A17:E17"/>
    <mergeCell ref="AB30:AD30"/>
    <mergeCell ref="AM38:AN38"/>
    <mergeCell ref="AE21:AI21"/>
    <mergeCell ref="A34:AI34"/>
    <mergeCell ref="J27:AA27"/>
    <mergeCell ref="A18:E30"/>
    <mergeCell ref="Z37:AE37"/>
    <mergeCell ref="AJ23:AN23"/>
    <mergeCell ref="J20:AA20"/>
    <mergeCell ref="AJ31:AN31"/>
    <mergeCell ref="AI37:AN37"/>
    <mergeCell ref="W38:Y38"/>
    <mergeCell ref="AJ26:AN26"/>
    <mergeCell ref="AJ33:AN33"/>
    <mergeCell ref="AE35:AI35"/>
    <mergeCell ref="AE24:AI24"/>
    <mergeCell ref="AJ25:AN25"/>
    <mergeCell ref="A33:AI33"/>
    <mergeCell ref="W36:AN36"/>
    <mergeCell ref="AB26:AD26"/>
    <mergeCell ref="J19:AA19"/>
    <mergeCell ref="J28:AA28"/>
    <mergeCell ref="AJ30:AN30"/>
  </mergeCells>
  <phoneticPr fontId="1" type="noConversion"/>
  <hyperlinks>
    <hyperlink ref="AI11" r:id="rId1" xr:uid="{00000000-0004-0000-0000-000000000000}"/>
  </hyperlinks>
  <pageMargins left="0.7" right="0.7" top="0.75" bottom="0.75" header="0.3" footer="0.3"/>
  <pageSetup paperSize="9" scale="54" orientation="portrait" verticalDpi="36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1_권장 구성 견적</vt:lpstr>
      <vt:lpstr>'1_권장 구성 견적'!Print_Area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yjmod.kr</dc:creator>
  <cp:lastModifiedBy>YJMOD</cp:lastModifiedBy>
  <cp:lastPrinted>2021-08-18T09:21:42Z</cp:lastPrinted>
  <dcterms:created xsi:type="dcterms:W3CDTF">2020-05-15T03:17:28Z</dcterms:created>
  <dcterms:modified xsi:type="dcterms:W3CDTF">2026-10-20T09:35:04Z</dcterms:modified>
</cp:coreProperties>
</file>